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Учёт товаро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 ##0 ₽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</cols>
  <sheetData>
    <row r="1">
      <c r="A1" s="1" t="inlineStr">
        <is>
          <t>Категория</t>
        </is>
      </c>
      <c r="B1" s="1" t="inlineStr">
        <is>
          <t>Модель</t>
        </is>
      </c>
      <c r="C1" s="1" t="inlineStr">
        <is>
          <t>Кол-во</t>
        </is>
      </c>
      <c r="D1" s="1" t="inlineStr">
        <is>
          <t>Закупочная</t>
        </is>
      </c>
      <c r="E1" s="1" t="inlineStr">
        <is>
          <t>Дата покупки</t>
        </is>
      </c>
      <c r="F1" s="1" t="inlineStr">
        <is>
          <t>Продажная</t>
        </is>
      </c>
      <c r="G1" s="1" t="inlineStr">
        <is>
          <t>Дата продажи</t>
        </is>
      </c>
      <c r="H1" s="1" t="inlineStr">
        <is>
          <t>Маржа</t>
        </is>
      </c>
      <c r="I1" s="1" t="inlineStr">
        <is>
          <t>Статус</t>
        </is>
      </c>
      <c r="J1" s="1" t="inlineStr">
        <is>
          <t>Примечание</t>
        </is>
      </c>
    </row>
    <row r="2">
      <c r="A2" s="2" t="inlineStr">
        <is>
          <t>iPhone</t>
        </is>
      </c>
      <c r="B2" s="2" t="inlineStr">
        <is>
          <t>12</t>
        </is>
      </c>
      <c r="C2" s="2" t="n">
        <v>1</v>
      </c>
      <c r="D2" s="2" t="n">
        <v>777</v>
      </c>
      <c r="E2" s="2" t="inlineStr">
        <is>
          <t>22.05.26</t>
        </is>
      </c>
      <c r="F2" s="2" t="inlineStr"/>
      <c r="G2" s="2" t="inlineStr"/>
      <c r="H2" s="3">
        <f>F2-D2</f>
        <v/>
      </c>
      <c r="I2" s="2" t="inlineStr">
        <is>
          <t>в наличии</t>
        </is>
      </c>
      <c r="J2" s="2" t="inlineStr"/>
    </row>
    <row r="3">
      <c r="A3" s="2" t="inlineStr">
        <is>
          <t>iPhone</t>
        </is>
      </c>
      <c r="B3" s="2" t="inlineStr">
        <is>
          <t>12</t>
        </is>
      </c>
      <c r="C3" s="2" t="n">
        <v>1</v>
      </c>
      <c r="D3" s="2" t="n">
        <v>7500</v>
      </c>
      <c r="E3" s="2" t="inlineStr">
        <is>
          <t>22.05.26</t>
        </is>
      </c>
      <c r="F3" s="2" t="n">
        <v>13000</v>
      </c>
      <c r="G3" s="2" t="inlineStr"/>
      <c r="H3" s="3">
        <f>F3-D3</f>
        <v/>
      </c>
      <c r="I3" s="2" t="inlineStr">
        <is>
          <t>продан</t>
        </is>
      </c>
      <c r="J3" s="2" t="inlineStr">
        <is>
          <t>плохая сделка</t>
        </is>
      </c>
    </row>
    <row r="4">
      <c r="A4" s="2" t="inlineStr">
        <is>
          <t>iPhone</t>
        </is>
      </c>
      <c r="B4" s="2" t="inlineStr">
        <is>
          <t>11</t>
        </is>
      </c>
      <c r="C4" s="2" t="n">
        <v>1</v>
      </c>
      <c r="D4" s="2" t="n">
        <v>5000</v>
      </c>
      <c r="E4" s="2" t="inlineStr">
        <is>
          <t>22.05.26</t>
        </is>
      </c>
      <c r="F4" s="2" t="n">
        <v>10447</v>
      </c>
      <c r="G4" s="2" t="inlineStr"/>
      <c r="H4" s="3">
        <f>F4-D4</f>
        <v/>
      </c>
      <c r="I4" s="2" t="inlineStr">
        <is>
          <t>продан</t>
        </is>
      </c>
      <c r="J4" s="2" t="inlineStr">
        <is>
          <t>плохая сделка</t>
        </is>
      </c>
    </row>
    <row r="5">
      <c r="A5" s="2" t="inlineStr">
        <is>
          <t>iPhone</t>
        </is>
      </c>
      <c r="B5" s="2" t="inlineStr">
        <is>
          <t>13</t>
        </is>
      </c>
      <c r="C5" s="2" t="n">
        <v>1</v>
      </c>
      <c r="D5" s="2" t="n">
        <v>18000</v>
      </c>
      <c r="E5" s="2" t="inlineStr">
        <is>
          <t>22.05.26</t>
        </is>
      </c>
      <c r="F5" s="2" t="inlineStr"/>
      <c r="G5" s="2" t="inlineStr"/>
      <c r="H5" s="3">
        <f>F5-D5</f>
        <v/>
      </c>
      <c r="I5" s="2" t="inlineStr">
        <is>
          <t>в наличии</t>
        </is>
      </c>
      <c r="J5" s="2" t="inlineStr"/>
    </row>
    <row r="6">
      <c r="A6" s="2" t="inlineStr">
        <is>
          <t>iPhone</t>
        </is>
      </c>
      <c r="B6" s="2" t="inlineStr">
        <is>
          <t>13 Pro Max</t>
        </is>
      </c>
      <c r="C6" s="2" t="n">
        <v>1</v>
      </c>
      <c r="D6" s="2" t="n">
        <v>17960</v>
      </c>
      <c r="E6" s="2" t="inlineStr">
        <is>
          <t>22.05.26</t>
        </is>
      </c>
      <c r="F6" s="2" t="inlineStr"/>
      <c r="G6" s="2" t="inlineStr"/>
      <c r="H6" s="3">
        <f>F6-D6</f>
        <v/>
      </c>
      <c r="I6" s="2" t="inlineStr">
        <is>
          <t>в наличии</t>
        </is>
      </c>
      <c r="J6" s="2" t="inlineStr"/>
    </row>
    <row r="7">
      <c r="A7" s="2" t="inlineStr">
        <is>
          <t>iPhone</t>
        </is>
      </c>
      <c r="B7" s="2" t="inlineStr">
        <is>
          <t>XS Max</t>
        </is>
      </c>
      <c r="C7" s="2" t="n">
        <v>1</v>
      </c>
      <c r="D7" s="2" t="n">
        <v>5500</v>
      </c>
      <c r="E7" s="2" t="inlineStr">
        <is>
          <t>22.05.26</t>
        </is>
      </c>
      <c r="F7" s="2" t="inlineStr"/>
      <c r="G7" s="2" t="inlineStr"/>
      <c r="H7" s="3">
        <f>F7-D7</f>
        <v/>
      </c>
      <c r="I7" s="2" t="inlineStr">
        <is>
          <t>в наличии</t>
        </is>
      </c>
      <c r="J7" s="2" t="inlineStr"/>
    </row>
    <row r="8">
      <c r="A8" s="2" t="inlineStr">
        <is>
          <t>iPhone</t>
        </is>
      </c>
      <c r="B8" s="2" t="inlineStr">
        <is>
          <t>12 Pro</t>
        </is>
      </c>
      <c r="C8" s="2" t="n">
        <v>1</v>
      </c>
      <c r="D8" s="2" t="n">
        <v>6000</v>
      </c>
      <c r="E8" s="2" t="inlineStr">
        <is>
          <t>22.05.26</t>
        </is>
      </c>
      <c r="F8" s="2" t="n">
        <v>12735</v>
      </c>
      <c r="G8" s="2" t="inlineStr"/>
      <c r="H8" s="3">
        <f>F8-D8</f>
        <v/>
      </c>
      <c r="I8" s="2" t="inlineStr">
        <is>
          <t>продан</t>
        </is>
      </c>
      <c r="J8" s="2" t="inlineStr"/>
    </row>
    <row r="9">
      <c r="A9" s="2" t="inlineStr">
        <is>
          <t>Аксессуары</t>
        </is>
      </c>
      <c r="B9" s="2" t="inlineStr">
        <is>
          <t>Повербанки</t>
        </is>
      </c>
      <c r="C9" s="2" t="n">
        <v>10</v>
      </c>
      <c r="D9" s="2" t="n">
        <v>1000</v>
      </c>
      <c r="E9" s="2" t="inlineStr">
        <is>
          <t>30.06.26</t>
        </is>
      </c>
      <c r="F9" s="2" t="inlineStr"/>
      <c r="G9" s="2" t="inlineStr"/>
      <c r="H9" s="3">
        <f>F9-D9</f>
        <v/>
      </c>
      <c r="I9" s="2" t="inlineStr">
        <is>
          <t>в наличии</t>
        </is>
      </c>
      <c r="J9" s="2" t="inlineStr"/>
    </row>
    <row r="10">
      <c r="A10" s="2" t="inlineStr">
        <is>
          <t>Аксессуары</t>
        </is>
      </c>
      <c r="B10" s="2" t="inlineStr">
        <is>
          <t>Наушники 75</t>
        </is>
      </c>
      <c r="C10" s="2" t="n">
        <v>10</v>
      </c>
      <c r="D10" s="2" t="n">
        <v>500</v>
      </c>
      <c r="E10" s="2" t="inlineStr">
        <is>
          <t>22.05.26</t>
        </is>
      </c>
      <c r="F10" s="2" t="inlineStr"/>
      <c r="G10" s="2" t="inlineStr"/>
      <c r="H10" s="3">
        <f>F10-D10</f>
        <v/>
      </c>
      <c r="I10" s="2" t="inlineStr">
        <is>
          <t>в наличии</t>
        </is>
      </c>
      <c r="J10" s="2" t="inlineStr"/>
    </row>
    <row r="11">
      <c r="A11" s="2" t="inlineStr">
        <is>
          <t>Аксессуары</t>
        </is>
      </c>
      <c r="B11" s="2" t="inlineStr">
        <is>
          <t>Наушники 57</t>
        </is>
      </c>
      <c r="C11" s="2" t="n">
        <v>10</v>
      </c>
      <c r="D11" s="2" t="n">
        <v>800</v>
      </c>
      <c r="E11" s="2" t="inlineStr">
        <is>
          <t>22.05.26</t>
        </is>
      </c>
      <c r="F11" s="2" t="inlineStr"/>
      <c r="G11" s="2" t="inlineStr"/>
      <c r="H11" s="3">
        <f>F11-D11</f>
        <v/>
      </c>
      <c r="I11" s="2" t="inlineStr">
        <is>
          <t>в наличии</t>
        </is>
      </c>
      <c r="J11" s="2" t="inlineStr"/>
    </row>
    <row r="12">
      <c r="A12" s="2" t="inlineStr">
        <is>
          <t>Аксессуары</t>
        </is>
      </c>
      <c r="B12" s="2" t="inlineStr">
        <is>
          <t>Наушники 73</t>
        </is>
      </c>
      <c r="C12" s="2" t="n">
        <v>10</v>
      </c>
      <c r="D12" s="2" t="n">
        <v>900</v>
      </c>
      <c r="E12" s="2" t="inlineStr">
        <is>
          <t>22.05.26</t>
        </is>
      </c>
      <c r="F12" s="2" t="inlineStr"/>
      <c r="G12" s="2" t="inlineStr"/>
      <c r="H12" s="3">
        <f>F12-D12</f>
        <v/>
      </c>
      <c r="I12" s="2" t="inlineStr">
        <is>
          <t>в наличии</t>
        </is>
      </c>
      <c r="J12" s="2" t="inlineStr"/>
    </row>
    <row r="13">
      <c r="A13" s="2" t="inlineStr">
        <is>
          <t>Аксессуары</t>
        </is>
      </c>
      <c r="B13" s="2" t="inlineStr">
        <is>
          <t>Наушники 76</t>
        </is>
      </c>
      <c r="C13" s="2" t="n">
        <v>10</v>
      </c>
      <c r="D13" s="2" t="n">
        <v>500</v>
      </c>
      <c r="E13" s="2" t="inlineStr">
        <is>
          <t>22.05.26</t>
        </is>
      </c>
      <c r="F13" s="2" t="inlineStr"/>
      <c r="G13" s="2" t="inlineStr"/>
      <c r="H13" s="3">
        <f>F13-D13</f>
        <v/>
      </c>
      <c r="I13" s="2" t="inlineStr">
        <is>
          <t>в наличии</t>
        </is>
      </c>
      <c r="J13" s="2" t="inlineStr"/>
    </row>
    <row r="14">
      <c r="A14" s="2" t="inlineStr">
        <is>
          <t>Аксессуары</t>
        </is>
      </c>
      <c r="B14" s="2" t="inlineStr">
        <is>
          <t>Наушники 56</t>
        </is>
      </c>
      <c r="C14" s="2" t="n">
        <v>10</v>
      </c>
      <c r="D14" s="2" t="n">
        <v>500</v>
      </c>
      <c r="E14" s="2" t="inlineStr">
        <is>
          <t>22.05.26</t>
        </is>
      </c>
      <c r="F14" s="2" t="inlineStr"/>
      <c r="G14" s="2" t="inlineStr"/>
      <c r="H14" s="3">
        <f>F14-D14</f>
        <v/>
      </c>
      <c r="I14" s="2" t="inlineStr">
        <is>
          <t>в наличии</t>
        </is>
      </c>
      <c r="J14" s="2" t="inlineStr"/>
    </row>
    <row r="15">
      <c r="A15" s="2" t="inlineStr">
        <is>
          <t>Аксессуары</t>
        </is>
      </c>
      <c r="B15" s="2" t="inlineStr">
        <is>
          <t>Кабель 13</t>
        </is>
      </c>
      <c r="C15" s="2" t="n">
        <v>1</v>
      </c>
      <c r="D15" s="2" t="n">
        <v>0</v>
      </c>
      <c r="E15" s="2" t="inlineStr">
        <is>
          <t>22.05.26</t>
        </is>
      </c>
      <c r="F15" s="2" t="inlineStr"/>
      <c r="G15" s="2" t="inlineStr"/>
      <c r="H15" s="3">
        <f>F15-D15</f>
        <v/>
      </c>
      <c r="I15" s="2" t="inlineStr">
        <is>
          <t>в наличии</t>
        </is>
      </c>
      <c r="J15" s="2" t="inlineStr"/>
    </row>
    <row r="16">
      <c r="A16" s="2" t="inlineStr">
        <is>
          <t>Аксессуары</t>
        </is>
      </c>
      <c r="B16" s="2" t="inlineStr">
        <is>
          <t>Накладные</t>
        </is>
      </c>
      <c r="C16" s="2" t="n">
        <v>1</v>
      </c>
      <c r="D16" s="2" t="n">
        <v>900</v>
      </c>
      <c r="E16" s="2" t="inlineStr">
        <is>
          <t>22.05.26</t>
        </is>
      </c>
      <c r="F16" s="2" t="inlineStr"/>
      <c r="G16" s="2" t="inlineStr"/>
      <c r="H16" s="3">
        <f>F16-D16</f>
        <v/>
      </c>
      <c r="I16" s="2" t="inlineStr">
        <is>
          <t>в наличии</t>
        </is>
      </c>
      <c r="J16" s="2" t="inlineStr"/>
    </row>
    <row r="17">
      <c r="A17" s="2" t="inlineStr">
        <is>
          <t>Аксессуары</t>
        </is>
      </c>
      <c r="B17" s="2" t="inlineStr">
        <is>
          <t>Шнуры Type-C</t>
        </is>
      </c>
      <c r="C17" s="2" t="n">
        <v>25</v>
      </c>
      <c r="D17" s="2" t="n">
        <v>80</v>
      </c>
      <c r="E17" s="2" t="inlineStr">
        <is>
          <t>22.05.26</t>
        </is>
      </c>
      <c r="F17" s="2" t="inlineStr"/>
      <c r="G17" s="2" t="inlineStr"/>
      <c r="H17" s="3">
        <f>F17-D17</f>
        <v/>
      </c>
      <c r="I17" s="2" t="inlineStr">
        <is>
          <t>в наличии</t>
        </is>
      </c>
      <c r="J17" s="2" t="inlineStr">
        <is>
          <t>80₽/шт</t>
        </is>
      </c>
    </row>
    <row r="19">
      <c r="A19" t="inlineStr">
        <is>
          <t>ИТОГО РАСХОДЫ:</t>
        </is>
      </c>
      <c r="D19">
        <f>SUM(D2:D15)</f>
        <v/>
      </c>
    </row>
    <row r="20">
      <c r="A20" t="inlineStr">
        <is>
          <t>ИТОГО ПРОДАЖИ:</t>
        </is>
      </c>
      <c r="F20">
        <f>SUM(F2:F16)</f>
        <v/>
      </c>
    </row>
    <row r="22">
      <c r="A22">
        <f>=================================================</f>
        <v/>
      </c>
    </row>
    <row r="23">
      <c r="A23" t="inlineStr">
        <is>
          <t>СТАТИСТИКА</t>
        </is>
      </c>
    </row>
    <row r="24">
      <c r="A24" t="inlineStr">
        <is>
          <t>Всего позиций:</t>
        </is>
      </c>
      <c r="B24">
        <f>COUNTA(A2:A18)</f>
        <v/>
      </c>
    </row>
    <row r="25">
      <c r="A25" t="inlineStr">
        <is>
          <t>В наличии:</t>
        </is>
      </c>
      <c r="B25">
        <f>COUNTIF(I2:I19,"в наличии")</f>
        <v/>
      </c>
    </row>
    <row r="26">
      <c r="A26" t="inlineStr">
        <is>
          <t>Продано:</t>
        </is>
      </c>
      <c r="B26">
        <f>COUNTIF(I2:I20,"продан")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2026-05-31T17:31:42Z</dcterms:created>
  <dcterms:modified xmlns:dcterms="http://purl.org/dc/terms/" xmlns:xsi="http://www.w3.org/2001/XMLSchema-instance" xsi:type="dcterms:W3CDTF">2026-05-31T17:34:53Z</dcterms:modified>
</cp:coreProperties>
</file>